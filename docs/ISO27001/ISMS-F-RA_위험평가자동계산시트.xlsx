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평가_자동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30" customHeight="1">
      <c r="A1" s="1" t="inlineStr">
        <is>
          <t>(주)한영피엔에스  정보보안 위험평가 자동계산 시트</t>
        </is>
      </c>
    </row>
    <row r="2" ht="22" customHeight="1">
      <c r="A2" s="2" t="inlineStr">
        <is>
          <t>자산ID</t>
        </is>
      </c>
      <c r="B2" s="2" t="inlineStr">
        <is>
          <t>자산명</t>
        </is>
      </c>
      <c r="C2" s="2" t="inlineStr">
        <is>
          <t>자산중요도
(1-5)</t>
        </is>
      </c>
      <c r="D2" s="2" t="inlineStr">
        <is>
          <t>위협유형</t>
        </is>
      </c>
      <c r="E2" s="2" t="inlineStr">
        <is>
          <t>취약점</t>
        </is>
      </c>
      <c r="F2" s="2" t="inlineStr">
        <is>
          <t>위협가능성
(1-5)</t>
        </is>
      </c>
      <c r="G2" s="2" t="inlineStr">
        <is>
          <t>영향도
(1-5)</t>
        </is>
      </c>
      <c r="H2" s="2" t="inlineStr">
        <is>
          <t>위험점수
(자동)</t>
        </is>
      </c>
      <c r="I2" s="2" t="inlineStr">
        <is>
          <t>위험등급
(자동)</t>
        </is>
      </c>
      <c r="J2" s="2" t="inlineStr">
        <is>
          <t>처리방안</t>
        </is>
      </c>
    </row>
    <row r="3" ht="20" customHeight="1">
      <c r="A3" s="3" t="inlineStr">
        <is>
          <t>A001</t>
        </is>
      </c>
      <c r="B3" s="3" t="inlineStr">
        <is>
          <t>고객DB서버</t>
        </is>
      </c>
      <c r="C3" s="3" t="n">
        <v>5</v>
      </c>
      <c r="D3" s="3" t="inlineStr">
        <is>
          <t>SQL인젝션</t>
        </is>
      </c>
      <c r="E3" s="3" t="inlineStr">
        <is>
          <t>웹방화벽 미설치</t>
        </is>
      </c>
      <c r="F3" s="3" t="n">
        <v>4</v>
      </c>
      <c r="G3" s="3" t="n">
        <v>5</v>
      </c>
      <c r="H3" s="3">
        <f>ROUND(C3*F3*G3/5,1)</f>
        <v/>
      </c>
      <c r="I3" s="3">
        <f>IF(H3&gt;=15,"상(HIGH)",IF(H3&gt;=8,"중(MED)","하(LOW)"))</f>
        <v/>
      </c>
      <c r="J3" s="3" t="inlineStr">
        <is>
          <t>위험 회피</t>
        </is>
      </c>
    </row>
    <row r="4" ht="20" customHeight="1">
      <c r="A4" s="3" t="inlineStr">
        <is>
          <t>A002</t>
        </is>
      </c>
      <c r="B4" s="3" t="inlineStr">
        <is>
          <t>VPN게이트웨이</t>
        </is>
      </c>
      <c r="C4" s="3" t="n">
        <v>4</v>
      </c>
      <c r="D4" s="3" t="inlineStr">
        <is>
          <t>취약점 익스플로잇</t>
        </is>
      </c>
      <c r="E4" s="3" t="inlineStr">
        <is>
          <t>패치 지연</t>
        </is>
      </c>
      <c r="F4" s="3" t="n">
        <v>3</v>
      </c>
      <c r="G4" s="3" t="n">
        <v>4</v>
      </c>
      <c r="H4" s="3">
        <f>ROUND(C4*F4*G4/5,1)</f>
        <v/>
      </c>
      <c r="I4" s="3">
        <f>IF(H4&gt;=15,"상(HIGH)",IF(H4&gt;=8,"중(MED)","하(LOW)"))</f>
        <v/>
      </c>
      <c r="J4" s="3" t="inlineStr">
        <is>
          <t>위험 감소</t>
        </is>
      </c>
    </row>
    <row r="5" ht="20" customHeight="1">
      <c r="A5" s="3" t="inlineStr">
        <is>
          <t>A003</t>
        </is>
      </c>
      <c r="B5" s="3" t="inlineStr">
        <is>
          <t>내부문서서버</t>
        </is>
      </c>
      <c r="C5" s="3" t="n">
        <v>4</v>
      </c>
      <c r="D5" s="3" t="inlineStr">
        <is>
          <t>내부자 유출</t>
        </is>
      </c>
      <c r="E5" s="3" t="inlineStr">
        <is>
          <t>접근권한 과다</t>
        </is>
      </c>
      <c r="F5" s="3" t="n">
        <v>3</v>
      </c>
      <c r="G5" s="3" t="n">
        <v>3</v>
      </c>
      <c r="H5" s="3">
        <f>ROUND(C5*F5*G5/5,1)</f>
        <v/>
      </c>
      <c r="I5" s="3">
        <f>IF(H5&gt;=15,"상(HIGH)",IF(H5&gt;=8,"중(MED)","하(LOW)"))</f>
        <v/>
      </c>
      <c r="J5" s="3" t="inlineStr">
        <is>
          <t>위험 감소</t>
        </is>
      </c>
    </row>
    <row r="6" ht="20" customHeight="1">
      <c r="A6" s="3" t="inlineStr">
        <is>
          <t>A004</t>
        </is>
      </c>
      <c r="B6" s="3" t="inlineStr">
        <is>
          <t>클라우드 스토리지</t>
        </is>
      </c>
      <c r="C6" s="3" t="n">
        <v>3</v>
      </c>
      <c r="D6" s="3" t="inlineStr">
        <is>
          <t>계정탈취</t>
        </is>
      </c>
      <c r="E6" s="3" t="inlineStr">
        <is>
          <t>MFA 미적용</t>
        </is>
      </c>
      <c r="F6" s="3" t="n">
        <v>2</v>
      </c>
      <c r="G6" s="3" t="n">
        <v>4</v>
      </c>
      <c r="H6" s="3">
        <f>ROUND(C6*F6*G6/5,1)</f>
        <v/>
      </c>
      <c r="I6" s="3">
        <f>IF(H6&gt;=15,"상(HIGH)",IF(H6&gt;=8,"중(MED)","하(LOW)"))</f>
        <v/>
      </c>
      <c r="J6" s="3" t="inlineStr">
        <is>
          <t>위험 감소</t>
        </is>
      </c>
    </row>
    <row r="7" ht="20" customHeight="1">
      <c r="A7" s="3" t="inlineStr">
        <is>
          <t>A005</t>
        </is>
      </c>
      <c r="B7" s="3" t="inlineStr">
        <is>
          <t>이메일 서버</t>
        </is>
      </c>
      <c r="C7" s="3" t="n">
        <v>4</v>
      </c>
      <c r="D7" s="3" t="inlineStr">
        <is>
          <t>피싱</t>
        </is>
      </c>
      <c r="E7" s="3" t="inlineStr">
        <is>
          <t>보안인식 부족</t>
        </is>
      </c>
      <c r="F7" s="3" t="n">
        <v>3</v>
      </c>
      <c r="G7" s="3" t="n">
        <v>3</v>
      </c>
      <c r="H7" s="3">
        <f>ROUND(C7*F7*G7/5,1)</f>
        <v/>
      </c>
      <c r="I7" s="3">
        <f>IF(H7&gt;=15,"상(HIGH)",IF(H7&gt;=8,"중(MED)","하(LOW)"))</f>
        <v/>
      </c>
      <c r="J7" s="3" t="inlineStr">
        <is>
          <t>위험 수용</t>
        </is>
      </c>
    </row>
    <row r="10">
      <c r="A10" s="4" t="inlineStr">
        <is>
          <t>※ 위험점수 = 자산중요도 × 위협가능성 × 영향도 / 5   |   상(HIGH)≥15  중(MED)≥8  하(LOW)&lt;8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2026-03-06T03:24:38Z</dcterms:created>
  <dcterms:modified xmlns:dcterms="http://purl.org/dc/terms/" xmlns:xsi="http://www.w3.org/2001/XMLSchema-instance" xsi:type="dcterms:W3CDTF">2026-03-06T03:24:38Z</dcterms:modified>
</cp:coreProperties>
</file>