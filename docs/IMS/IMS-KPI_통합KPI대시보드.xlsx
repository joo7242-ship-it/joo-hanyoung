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_입력" sheetId="1" state="visible" r:id="rId1"/>
    <sheet xmlns:r="http://schemas.openxmlformats.org/officeDocument/2006/relationships" name="규격별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10"/>
    </font>
    <font>
      <b val="1"/>
      <color rgb="00FFFFFF"/>
      <sz val="10"/>
    </font>
    <font>
      <b val="1"/>
      <color rgb="00FFFFFF"/>
      <sz val="13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0" customWidth="1" min="3" max="3"/>
    <col width="10" customWidth="1" min="4" max="4"/>
    <col width="8" customWidth="1" min="5" max="5"/>
    <col width="8" customWidth="1" min="6" max="6"/>
    <col width="8" customWidth="1" min="7" max="7"/>
    <col width="10" customWidth="1" min="8" max="8"/>
    <col width="12" customWidth="1" min="9" max="9"/>
    <col width="8" customWidth="1" min="10" max="10"/>
    <col width="20" customWidth="1" min="11" max="11"/>
    <col width="12" customWidth="1" min="12" max="12"/>
  </cols>
  <sheetData>
    <row r="1" ht="32" customHeight="1">
      <c r="A1" s="1" t="inlineStr">
        <is>
          <t>(주)한영피엔에스  IMS 통합 KPI 관리 대시보드</t>
        </is>
      </c>
    </row>
    <row r="2">
      <c r="A2" s="2" t="inlineStr">
        <is>
          <t>작성일: 2026-03-06   버전: Rev.1   담당: 기술연구소</t>
        </is>
      </c>
    </row>
    <row r="3" ht="22" customHeight="1">
      <c r="A3" s="3" t="inlineStr">
        <is>
          <t>규격</t>
        </is>
      </c>
      <c r="B3" s="3" t="inlineStr">
        <is>
          <t>KPI 항목</t>
        </is>
      </c>
      <c r="C3" s="3" t="inlineStr">
        <is>
          <t>측정단위</t>
        </is>
      </c>
      <c r="D3" s="3" t="inlineStr">
        <is>
          <t>목표값</t>
        </is>
      </c>
      <c r="E3" s="3" t="inlineStr">
        <is>
          <t>1월</t>
        </is>
      </c>
      <c r="F3" s="3" t="inlineStr">
        <is>
          <t>2월</t>
        </is>
      </c>
      <c r="G3" s="3" t="inlineStr">
        <is>
          <t>3월</t>
        </is>
      </c>
      <c r="H3" s="3" t="inlineStr">
        <is>
          <t>Q1실적</t>
        </is>
      </c>
      <c r="I3" s="3" t="inlineStr">
        <is>
          <t>달성율(%)</t>
        </is>
      </c>
      <c r="J3" s="3" t="inlineStr">
        <is>
          <t>상태</t>
        </is>
      </c>
      <c r="K3" s="3" t="inlineStr">
        <is>
          <t>비고</t>
        </is>
      </c>
      <c r="L3" s="3" t="inlineStr">
        <is>
          <t>담당</t>
        </is>
      </c>
    </row>
    <row r="4" ht="20" customHeight="1">
      <c r="A4" s="4" t="inlineStr">
        <is>
          <t>ISO 9001</t>
        </is>
      </c>
      <c r="B4" s="4" t="inlineStr">
        <is>
          <t>고객만족도 점수</t>
        </is>
      </c>
      <c r="C4" s="4" t="inlineStr">
        <is>
          <t>점(100점)</t>
        </is>
      </c>
      <c r="D4" s="4" t="inlineStr">
        <is>
          <t>90↑</t>
        </is>
      </c>
      <c r="E4" s="4" t="n"/>
      <c r="F4" s="4" t="n"/>
      <c r="G4" s="4" t="n"/>
      <c r="H4" s="4" t="n"/>
      <c r="I4" s="4">
        <f>IF(H4="","",ROUND(H4/D4*100,1))</f>
        <v/>
      </c>
      <c r="J4" s="4">
        <f>IF(I4="","",IF(I4&gt;=100,"✅달성","⚠미달"))</f>
        <v/>
      </c>
      <c r="K4" s="4" t="n"/>
      <c r="L4" s="4" t="n"/>
    </row>
    <row r="5" ht="20" customHeight="1">
      <c r="A5" s="4" t="inlineStr">
        <is>
          <t>ISO 9001</t>
        </is>
      </c>
      <c r="B5" s="4" t="inlineStr">
        <is>
          <t>제품 불합격률</t>
        </is>
      </c>
      <c r="C5" s="4" t="inlineStr">
        <is>
          <t>%</t>
        </is>
      </c>
      <c r="D5" s="4" t="inlineStr">
        <is>
          <t>0.5↓</t>
        </is>
      </c>
      <c r="E5" s="4" t="n"/>
      <c r="F5" s="4" t="n"/>
      <c r="G5" s="4" t="n"/>
      <c r="H5" s="4" t="n"/>
      <c r="I5" s="4">
        <f>IF(H5="","",ROUND(H5/D5*100,1))</f>
        <v/>
      </c>
      <c r="J5" s="4">
        <f>IF(I5="","",IF(I5&gt;=100,"✅달성","⚠미달"))</f>
        <v/>
      </c>
      <c r="K5" s="4" t="n"/>
      <c r="L5" s="4" t="n"/>
    </row>
    <row r="6" ht="20" customHeight="1">
      <c r="A6" s="4" t="inlineStr">
        <is>
          <t>ISO 9001</t>
        </is>
      </c>
      <c r="B6" s="4" t="inlineStr">
        <is>
          <t>납기 준수율</t>
        </is>
      </c>
      <c r="C6" s="4" t="inlineStr">
        <is>
          <t>%</t>
        </is>
      </c>
      <c r="D6" s="4" t="inlineStr">
        <is>
          <t>98↑</t>
        </is>
      </c>
      <c r="E6" s="4" t="n"/>
      <c r="F6" s="4" t="n"/>
      <c r="G6" s="4" t="n"/>
      <c r="H6" s="4" t="n"/>
      <c r="I6" s="4">
        <f>IF(H6="","",ROUND(H6/D6*100,1))</f>
        <v/>
      </c>
      <c r="J6" s="4">
        <f>IF(I6="","",IF(I6&gt;=100,"✅달성","⚠미달"))</f>
        <v/>
      </c>
      <c r="K6" s="4" t="n"/>
      <c r="L6" s="4" t="n"/>
    </row>
    <row r="7" ht="20" customHeight="1">
      <c r="A7" s="4" t="inlineStr">
        <is>
          <t>ISO 9001</t>
        </is>
      </c>
      <c r="B7" s="4" t="inlineStr">
        <is>
          <t>공급자 평가 완료율</t>
        </is>
      </c>
      <c r="C7" s="4" t="inlineStr">
        <is>
          <t>%</t>
        </is>
      </c>
      <c r="D7" s="4" t="inlineStr">
        <is>
          <t>100</t>
        </is>
      </c>
      <c r="E7" s="4" t="n"/>
      <c r="F7" s="4" t="n"/>
      <c r="G7" s="4" t="n"/>
      <c r="H7" s="4" t="n"/>
      <c r="I7" s="4">
        <f>IF(H7="","",ROUND(H7/D7*100,1))</f>
        <v/>
      </c>
      <c r="J7" s="4">
        <f>IF(I7="","",IF(I7&gt;=100,"✅달성","⚠미달"))</f>
        <v/>
      </c>
      <c r="K7" s="4" t="n"/>
      <c r="L7" s="4" t="n"/>
    </row>
    <row r="8" ht="20" customHeight="1">
      <c r="A8" s="4" t="inlineStr">
        <is>
          <t>ISO 9001</t>
        </is>
      </c>
      <c r="B8" s="4" t="inlineStr">
        <is>
          <t>내부심사 시정조치 완료율</t>
        </is>
      </c>
      <c r="C8" s="4" t="inlineStr">
        <is>
          <t>%</t>
        </is>
      </c>
      <c r="D8" s="4" t="inlineStr">
        <is>
          <t>95↑</t>
        </is>
      </c>
      <c r="E8" s="4" t="n"/>
      <c r="F8" s="4" t="n"/>
      <c r="G8" s="4" t="n"/>
      <c r="H8" s="4" t="n"/>
      <c r="I8" s="4">
        <f>IF(H8="","",ROUND(H8/D8*100,1))</f>
        <v/>
      </c>
      <c r="J8" s="4">
        <f>IF(I8="","",IF(I8&gt;=100,"✅달성","⚠미달"))</f>
        <v/>
      </c>
      <c r="K8" s="4" t="n"/>
      <c r="L8" s="4" t="n"/>
    </row>
    <row r="9" ht="20" customHeight="1">
      <c r="A9" s="4" t="inlineStr">
        <is>
          <t>ISO 14001</t>
        </is>
      </c>
      <c r="B9" s="4" t="inlineStr">
        <is>
          <t>에너지 소비량</t>
        </is>
      </c>
      <c r="C9" s="4" t="inlineStr">
        <is>
          <t>kWh</t>
        </is>
      </c>
      <c r="D9" s="4" t="inlineStr">
        <is>
          <t>전년比 5%↓</t>
        </is>
      </c>
      <c r="E9" s="4" t="n"/>
      <c r="F9" s="4" t="n"/>
      <c r="G9" s="4" t="n"/>
      <c r="H9" s="4" t="n"/>
      <c r="I9" s="4">
        <f>IF(H9="","",ROUND(H9/D9*100,1))</f>
        <v/>
      </c>
      <c r="J9" s="4">
        <f>IF(I9="","",IF(I9&gt;=100,"✅달성","⚠미달"))</f>
        <v/>
      </c>
      <c r="K9" s="4" t="n"/>
      <c r="L9" s="4" t="n"/>
    </row>
    <row r="10" ht="20" customHeight="1">
      <c r="A10" s="4" t="inlineStr">
        <is>
          <t>ISO 14001</t>
        </is>
      </c>
      <c r="B10" s="4" t="inlineStr">
        <is>
          <t>온실가스 배출량</t>
        </is>
      </c>
      <c r="C10" s="4" t="inlineStr">
        <is>
          <t>tCO2eq</t>
        </is>
      </c>
      <c r="D10" s="4" t="inlineStr">
        <is>
          <t>전년比 5%↓</t>
        </is>
      </c>
      <c r="E10" s="4" t="n"/>
      <c r="F10" s="4" t="n"/>
      <c r="G10" s="4" t="n"/>
      <c r="H10" s="4" t="n"/>
      <c r="I10" s="4">
        <f>IF(H10="","",ROUND(H10/D10*100,1))</f>
        <v/>
      </c>
      <c r="J10" s="4">
        <f>IF(I10="","",IF(I10&gt;=100,"✅달성","⚠미달"))</f>
        <v/>
      </c>
      <c r="K10" s="4" t="n"/>
      <c r="L10" s="4" t="n"/>
    </row>
    <row r="11" ht="20" customHeight="1">
      <c r="A11" s="4" t="inlineStr">
        <is>
          <t>ISO 14001</t>
        </is>
      </c>
      <c r="B11" s="4" t="inlineStr">
        <is>
          <t>폐기물 재활용율</t>
        </is>
      </c>
      <c r="C11" s="4" t="inlineStr">
        <is>
          <t>%</t>
        </is>
      </c>
      <c r="D11" s="4" t="inlineStr">
        <is>
          <t>80↑</t>
        </is>
      </c>
      <c r="E11" s="4" t="n"/>
      <c r="F11" s="4" t="n"/>
      <c r="G11" s="4" t="n"/>
      <c r="H11" s="4" t="n"/>
      <c r="I11" s="4">
        <f>IF(H11="","",ROUND(H11/D11*100,1))</f>
        <v/>
      </c>
      <c r="J11" s="4">
        <f>IF(I11="","",IF(I11&gt;=100,"✅달성","⚠미달"))</f>
        <v/>
      </c>
      <c r="K11" s="4" t="n"/>
      <c r="L11" s="4" t="n"/>
    </row>
    <row r="12" ht="20" customHeight="1">
      <c r="A12" s="4" t="inlineStr">
        <is>
          <t>ISO 14001</t>
        </is>
      </c>
      <c r="B12" s="4" t="inlineStr">
        <is>
          <t>환경법규 위반 건수</t>
        </is>
      </c>
      <c r="C12" s="4" t="inlineStr">
        <is>
          <t>건</t>
        </is>
      </c>
      <c r="D12" s="4" t="inlineStr">
        <is>
          <t>0</t>
        </is>
      </c>
      <c r="E12" s="4" t="n"/>
      <c r="F12" s="4" t="n"/>
      <c r="G12" s="4" t="n"/>
      <c r="H12" s="4" t="n"/>
      <c r="I12" s="4">
        <f>IF(H12="","",ROUND(H12/D12*100,1))</f>
        <v/>
      </c>
      <c r="J12" s="4">
        <f>IF(I12="","",IF(I12&gt;=100,"✅달성","⚠미달"))</f>
        <v/>
      </c>
      <c r="K12" s="4" t="n"/>
      <c r="L12" s="4" t="n"/>
    </row>
    <row r="13" ht="20" customHeight="1">
      <c r="A13" s="4" t="inlineStr">
        <is>
          <t>ISO 14001</t>
        </is>
      </c>
      <c r="B13" s="4" t="inlineStr">
        <is>
          <t>환경교육 이수율</t>
        </is>
      </c>
      <c r="C13" s="4" t="inlineStr">
        <is>
          <t>%</t>
        </is>
      </c>
      <c r="D13" s="4" t="inlineStr">
        <is>
          <t>100</t>
        </is>
      </c>
      <c r="E13" s="4" t="n"/>
      <c r="F13" s="4" t="n"/>
      <c r="G13" s="4" t="n"/>
      <c r="H13" s="4" t="n"/>
      <c r="I13" s="4">
        <f>IF(H13="","",ROUND(H13/D13*100,1))</f>
        <v/>
      </c>
      <c r="J13" s="4">
        <f>IF(I13="","",IF(I13&gt;=100,"✅달성","⚠미달"))</f>
        <v/>
      </c>
      <c r="K13" s="4" t="n"/>
      <c r="L13" s="4" t="n"/>
    </row>
    <row r="14" ht="20" customHeight="1">
      <c r="A14" s="4" t="inlineStr">
        <is>
          <t>ISO 45001</t>
        </is>
      </c>
      <c r="B14" s="4" t="inlineStr">
        <is>
          <t>산업재해율</t>
        </is>
      </c>
      <c r="C14" s="4" t="inlineStr">
        <is>
          <t>%</t>
        </is>
      </c>
      <c r="D14" s="4" t="inlineStr">
        <is>
          <t>0.3↓</t>
        </is>
      </c>
      <c r="E14" s="4" t="n"/>
      <c r="F14" s="4" t="n"/>
      <c r="G14" s="4" t="n"/>
      <c r="H14" s="4" t="n"/>
      <c r="I14" s="4">
        <f>IF(H14="","",ROUND(H14/D14*100,1))</f>
        <v/>
      </c>
      <c r="J14" s="4">
        <f>IF(I14="","",IF(I14&gt;=100,"✅달성","⚠미달"))</f>
        <v/>
      </c>
      <c r="K14" s="4" t="n"/>
      <c r="L14" s="4" t="n"/>
    </row>
    <row r="15" ht="20" customHeight="1">
      <c r="A15" s="4" t="inlineStr">
        <is>
          <t>ISO 45001</t>
        </is>
      </c>
      <c r="B15" s="4" t="inlineStr">
        <is>
          <t>아차사고 발굴 건수</t>
        </is>
      </c>
      <c r="C15" s="4" t="inlineStr">
        <is>
          <t>건</t>
        </is>
      </c>
      <c r="D15" s="4" t="inlineStr">
        <is>
          <t>월 3↑</t>
        </is>
      </c>
      <c r="E15" s="4" t="n"/>
      <c r="F15" s="4" t="n"/>
      <c r="G15" s="4" t="n"/>
      <c r="H15" s="4" t="n"/>
      <c r="I15" s="4">
        <f>IF(H15="","",ROUND(H15/D15*100,1))</f>
        <v/>
      </c>
      <c r="J15" s="4">
        <f>IF(I15="","",IF(I15&gt;=100,"✅달성","⚠미달"))</f>
        <v/>
      </c>
      <c r="K15" s="4" t="n"/>
      <c r="L15" s="4" t="n"/>
    </row>
    <row r="16" ht="20" customHeight="1">
      <c r="A16" s="4" t="inlineStr">
        <is>
          <t>ISO 45001</t>
        </is>
      </c>
      <c r="B16" s="4" t="inlineStr">
        <is>
          <t>안전교육 이수율</t>
        </is>
      </c>
      <c r="C16" s="4" t="inlineStr">
        <is>
          <t>%</t>
        </is>
      </c>
      <c r="D16" s="4" t="inlineStr">
        <is>
          <t>100</t>
        </is>
      </c>
      <c r="E16" s="4" t="n"/>
      <c r="F16" s="4" t="n"/>
      <c r="G16" s="4" t="n"/>
      <c r="H16" s="4" t="n"/>
      <c r="I16" s="4">
        <f>IF(H16="","",ROUND(H16/D16*100,1))</f>
        <v/>
      </c>
      <c r="J16" s="4">
        <f>IF(I16="","",IF(I16&gt;=100,"✅달성","⚠미달"))</f>
        <v/>
      </c>
      <c r="K16" s="4" t="n"/>
      <c r="L16" s="4" t="n"/>
    </row>
    <row r="17" ht="20" customHeight="1">
      <c r="A17" s="4" t="inlineStr">
        <is>
          <t>ISO 45001</t>
        </is>
      </c>
      <c r="B17" s="4" t="inlineStr">
        <is>
          <t>위험성평가 완료율</t>
        </is>
      </c>
      <c r="C17" s="4" t="inlineStr">
        <is>
          <t>%</t>
        </is>
      </c>
      <c r="D17" s="4" t="inlineStr">
        <is>
          <t>100</t>
        </is>
      </c>
      <c r="E17" s="4" t="n"/>
      <c r="F17" s="4" t="n"/>
      <c r="G17" s="4" t="n"/>
      <c r="H17" s="4" t="n"/>
      <c r="I17" s="4">
        <f>IF(H17="","",ROUND(H17/D17*100,1))</f>
        <v/>
      </c>
      <c r="J17" s="4">
        <f>IF(I17="","",IF(I17&gt;=100,"✅달성","⚠미달"))</f>
        <v/>
      </c>
      <c r="K17" s="4" t="n"/>
      <c r="L17" s="4" t="n"/>
    </row>
    <row r="18" ht="20" customHeight="1">
      <c r="A18" s="4" t="inlineStr">
        <is>
          <t>ISO 45001</t>
        </is>
      </c>
      <c r="B18" s="4" t="inlineStr">
        <is>
          <t>중대재해 발생 건수</t>
        </is>
      </c>
      <c r="C18" s="4" t="inlineStr">
        <is>
          <t>건</t>
        </is>
      </c>
      <c r="D18" s="4" t="inlineStr">
        <is>
          <t>0</t>
        </is>
      </c>
      <c r="E18" s="4" t="n"/>
      <c r="F18" s="4" t="n"/>
      <c r="G18" s="4" t="n"/>
      <c r="H18" s="4" t="n"/>
      <c r="I18" s="4">
        <f>IF(H18="","",ROUND(H18/D18*100,1))</f>
        <v/>
      </c>
      <c r="J18" s="4">
        <f>IF(I18="","",IF(I18&gt;=100,"✅달성","⚠미달"))</f>
        <v/>
      </c>
      <c r="K18" s="4" t="n"/>
      <c r="L18" s="4" t="n"/>
    </row>
    <row r="19" ht="20" customHeight="1">
      <c r="A19" s="4" t="inlineStr">
        <is>
          <t>ISO 27001</t>
        </is>
      </c>
      <c r="B19" s="4" t="inlineStr">
        <is>
          <t>보안사고 발생 건수</t>
        </is>
      </c>
      <c r="C19" s="4" t="inlineStr">
        <is>
          <t>건</t>
        </is>
      </c>
      <c r="D19" s="4" t="inlineStr">
        <is>
          <t>0</t>
        </is>
      </c>
      <c r="E19" s="4" t="n"/>
      <c r="F19" s="4" t="n"/>
      <c r="G19" s="4" t="n"/>
      <c r="H19" s="4" t="n"/>
      <c r="I19" s="4">
        <f>IF(H19="","",ROUND(H19/D19*100,1))</f>
        <v/>
      </c>
      <c r="J19" s="4">
        <f>IF(I19="","",IF(I19&gt;=100,"✅달성","⚠미달"))</f>
        <v/>
      </c>
      <c r="K19" s="4" t="n"/>
      <c r="L19" s="4" t="n"/>
    </row>
    <row r="20" ht="20" customHeight="1">
      <c r="A20" s="4" t="inlineStr">
        <is>
          <t>ISO 27001</t>
        </is>
      </c>
      <c r="B20" s="4" t="inlineStr">
        <is>
          <t>취약점 패치율</t>
        </is>
      </c>
      <c r="C20" s="4" t="inlineStr">
        <is>
          <t>%</t>
        </is>
      </c>
      <c r="D20" s="4" t="inlineStr">
        <is>
          <t>95↑</t>
        </is>
      </c>
      <c r="E20" s="4" t="n"/>
      <c r="F20" s="4" t="n"/>
      <c r="G20" s="4" t="n"/>
      <c r="H20" s="4" t="n"/>
      <c r="I20" s="4">
        <f>IF(H20="","",ROUND(H20/D20*100,1))</f>
        <v/>
      </c>
      <c r="J20" s="4">
        <f>IF(I20="","",IF(I20&gt;=100,"✅달성","⚠미달"))</f>
        <v/>
      </c>
      <c r="K20" s="4" t="n"/>
      <c r="L20" s="4" t="n"/>
    </row>
    <row r="21" ht="20" customHeight="1">
      <c r="A21" s="4" t="inlineStr">
        <is>
          <t>ISO 27001</t>
        </is>
      </c>
      <c r="B21" s="4" t="inlineStr">
        <is>
          <t>보안교육 이수율</t>
        </is>
      </c>
      <c r="C21" s="4" t="inlineStr">
        <is>
          <t>%</t>
        </is>
      </c>
      <c r="D21" s="4" t="inlineStr">
        <is>
          <t>100</t>
        </is>
      </c>
      <c r="E21" s="4" t="n"/>
      <c r="F21" s="4" t="n"/>
      <c r="G21" s="4" t="n"/>
      <c r="H21" s="4" t="n"/>
      <c r="I21" s="4">
        <f>IF(H21="","",ROUND(H21/D21*100,1))</f>
        <v/>
      </c>
      <c r="J21" s="4">
        <f>IF(I21="","",IF(I21&gt;=100,"✅달성","⚠미달"))</f>
        <v/>
      </c>
      <c r="K21" s="4" t="n"/>
      <c r="L21" s="4" t="n"/>
    </row>
    <row r="22" ht="20" customHeight="1">
      <c r="A22" s="4" t="inlineStr">
        <is>
          <t>ISO 27001</t>
        </is>
      </c>
      <c r="B22" s="4" t="inlineStr">
        <is>
          <t>비인가 접근 시도</t>
        </is>
      </c>
      <c r="C22" s="4" t="inlineStr">
        <is>
          <t>건</t>
        </is>
      </c>
      <c r="D22" s="4" t="inlineStr">
        <is>
          <t>0</t>
        </is>
      </c>
      <c r="E22" s="4" t="n"/>
      <c r="F22" s="4" t="n"/>
      <c r="G22" s="4" t="n"/>
      <c r="H22" s="4" t="n"/>
      <c r="I22" s="4">
        <f>IF(H22="","",ROUND(H22/D22*100,1))</f>
        <v/>
      </c>
      <c r="J22" s="4">
        <f>IF(I22="","",IF(I22&gt;=100,"✅달성","⚠미달"))</f>
        <v/>
      </c>
      <c r="K22" s="4" t="n"/>
      <c r="L22" s="4" t="n"/>
    </row>
    <row r="23" ht="20" customHeight="1">
      <c r="A23" s="4" t="inlineStr">
        <is>
          <t>ISO 37001</t>
        </is>
      </c>
      <c r="B23" s="4" t="inlineStr">
        <is>
          <t>부패·비위 신고 건수</t>
        </is>
      </c>
      <c r="C23" s="4" t="inlineStr">
        <is>
          <t>건</t>
        </is>
      </c>
      <c r="D23" s="4" t="inlineStr">
        <is>
          <t>-</t>
        </is>
      </c>
      <c r="E23" s="4" t="n"/>
      <c r="F23" s="4" t="n"/>
      <c r="G23" s="4" t="n"/>
      <c r="H23" s="4" t="n"/>
      <c r="I23" s="4">
        <f>IF(H23="","",ROUND(H23/D23*100,1))</f>
        <v/>
      </c>
      <c r="J23" s="4">
        <f>IF(I23="","",IF(I23&gt;=100,"✅달성","⚠미달"))</f>
        <v/>
      </c>
      <c r="K23" s="4" t="n"/>
      <c r="L23" s="4" t="n"/>
    </row>
    <row r="24" ht="20" customHeight="1">
      <c r="A24" s="4" t="inlineStr">
        <is>
          <t>ISO 37001</t>
        </is>
      </c>
      <c r="B24" s="4" t="inlineStr">
        <is>
          <t>부패방지 교육 이수율</t>
        </is>
      </c>
      <c r="C24" s="4" t="inlineStr">
        <is>
          <t>%</t>
        </is>
      </c>
      <c r="D24" s="4" t="inlineStr">
        <is>
          <t>100</t>
        </is>
      </c>
      <c r="E24" s="4" t="n"/>
      <c r="F24" s="4" t="n"/>
      <c r="G24" s="4" t="n"/>
      <c r="H24" s="4" t="n"/>
      <c r="I24" s="4">
        <f>IF(H24="","",ROUND(H24/D24*100,1))</f>
        <v/>
      </c>
      <c r="J24" s="4">
        <f>IF(I24="","",IF(I24&gt;=100,"✅달성","⚠미달"))</f>
        <v/>
      </c>
      <c r="K24" s="4" t="n"/>
      <c r="L24" s="4" t="n"/>
    </row>
    <row r="25" ht="20" customHeight="1">
      <c r="A25" s="4" t="inlineStr">
        <is>
          <t>ISO 37301</t>
        </is>
      </c>
      <c r="B25" s="4" t="inlineStr">
        <is>
          <t>법규 위반 건수</t>
        </is>
      </c>
      <c r="C25" s="4" t="inlineStr">
        <is>
          <t>건</t>
        </is>
      </c>
      <c r="D25" s="4" t="inlineStr">
        <is>
          <t>0</t>
        </is>
      </c>
      <c r="E25" s="4" t="n"/>
      <c r="F25" s="4" t="n"/>
      <c r="G25" s="4" t="n"/>
      <c r="H25" s="4" t="n"/>
      <c r="I25" s="4">
        <f>IF(H25="","",ROUND(H25/D25*100,1))</f>
        <v/>
      </c>
      <c r="J25" s="4">
        <f>IF(I25="","",IF(I25&gt;=100,"✅달성","⚠미달"))</f>
        <v/>
      </c>
      <c r="K25" s="4" t="n"/>
      <c r="L25" s="4" t="n"/>
    </row>
    <row r="26" ht="20" customHeight="1">
      <c r="A26" s="4" t="inlineStr">
        <is>
          <t>ISO 37301</t>
        </is>
      </c>
      <c r="B26" s="4" t="inlineStr">
        <is>
          <t>CP 자가평가 점수</t>
        </is>
      </c>
      <c r="C26" s="4" t="inlineStr">
        <is>
          <t>점</t>
        </is>
      </c>
      <c r="D26" s="4" t="inlineStr">
        <is>
          <t>80↑</t>
        </is>
      </c>
      <c r="E26" s="4" t="n"/>
      <c r="F26" s="4" t="n"/>
      <c r="G26" s="4" t="n"/>
      <c r="H26" s="4" t="n"/>
      <c r="I26" s="4">
        <f>IF(H26="","",ROUND(H26/D26*100,1))</f>
        <v/>
      </c>
      <c r="J26" s="4">
        <f>IF(I26="","",IF(I26&gt;=100,"✅달성","⚠미달"))</f>
        <v/>
      </c>
      <c r="K26" s="4" t="n"/>
      <c r="L26" s="4" t="n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12" customWidth="1" min="5" max="5"/>
    <col width="20" customWidth="1" min="6" max="6"/>
  </cols>
  <sheetData>
    <row r="1" ht="28" customHeight="1">
      <c r="A1" s="5" t="inlineStr">
        <is>
          <t>규격별 KPI 현황 요약</t>
        </is>
      </c>
    </row>
    <row r="2" ht="22" customHeight="1">
      <c r="A2" s="3" t="inlineStr">
        <is>
          <t>규격</t>
        </is>
      </c>
      <c r="B2" s="3" t="inlineStr">
        <is>
          <t>총 KPI 수</t>
        </is>
      </c>
      <c r="C2" s="3" t="inlineStr">
        <is>
          <t>목표달성</t>
        </is>
      </c>
      <c r="D2" s="3" t="inlineStr">
        <is>
          <t>미달</t>
        </is>
      </c>
      <c r="E2" s="3" t="inlineStr">
        <is>
          <t>달성율</t>
        </is>
      </c>
      <c r="F2" s="3" t="inlineStr">
        <is>
          <t>비고</t>
        </is>
      </c>
    </row>
    <row r="3" ht="20" customHeight="1">
      <c r="A3" s="6" t="inlineStr">
        <is>
          <t>ISO 9001</t>
        </is>
      </c>
      <c r="B3" s="6" t="n">
        <v>5</v>
      </c>
      <c r="C3" s="6" t="inlineStr">
        <is>
          <t>목표달성건수 입력</t>
        </is>
      </c>
      <c r="D3" s="6" t="inlineStr"/>
      <c r="E3" s="6">
        <f>C3/B3*100</f>
        <v/>
      </c>
      <c r="F3" s="6" t="inlineStr">
        <is>
          <t>품질경영</t>
        </is>
      </c>
    </row>
    <row r="4" ht="20" customHeight="1">
      <c r="A4" s="6" t="inlineStr">
        <is>
          <t>ISO 14001</t>
        </is>
      </c>
      <c r="B4" s="6" t="n">
        <v>5</v>
      </c>
      <c r="C4" s="6" t="inlineStr"/>
      <c r="D4" s="6" t="inlineStr"/>
      <c r="E4" s="6">
        <f>C4/B4*100</f>
        <v/>
      </c>
      <c r="F4" s="6" t="inlineStr">
        <is>
          <t>환경경영</t>
        </is>
      </c>
    </row>
    <row r="5" ht="20" customHeight="1">
      <c r="A5" s="6" t="inlineStr">
        <is>
          <t>ISO 45001</t>
        </is>
      </c>
      <c r="B5" s="6" t="n">
        <v>5</v>
      </c>
      <c r="C5" s="6" t="inlineStr"/>
      <c r="D5" s="6" t="inlineStr"/>
      <c r="E5" s="6">
        <f>C5/B5*100</f>
        <v/>
      </c>
      <c r="F5" s="6" t="inlineStr">
        <is>
          <t>안전보건경영</t>
        </is>
      </c>
    </row>
    <row r="6" ht="20" customHeight="1">
      <c r="A6" s="6" t="inlineStr">
        <is>
          <t>ISO 27001</t>
        </is>
      </c>
      <c r="B6" s="6" t="n">
        <v>4</v>
      </c>
      <c r="C6" s="6" t="inlineStr"/>
      <c r="D6" s="6" t="inlineStr"/>
      <c r="E6" s="6">
        <f>C6/B6*100</f>
        <v/>
      </c>
      <c r="F6" s="6" t="inlineStr">
        <is>
          <t>정보보안경영</t>
        </is>
      </c>
    </row>
    <row r="7" ht="20" customHeight="1">
      <c r="A7" s="6" t="inlineStr">
        <is>
          <t>ISO 37001</t>
        </is>
      </c>
      <c r="B7" s="6" t="n">
        <v>2</v>
      </c>
      <c r="C7" s="6" t="inlineStr"/>
      <c r="D7" s="6" t="inlineStr"/>
      <c r="E7" s="6">
        <f>C7/B7*100</f>
        <v/>
      </c>
      <c r="F7" s="6" t="inlineStr">
        <is>
          <t>반부패경영</t>
        </is>
      </c>
    </row>
    <row r="8" ht="20" customHeight="1">
      <c r="A8" s="6" t="inlineStr">
        <is>
          <t>ISO 37301</t>
        </is>
      </c>
      <c r="B8" s="6" t="n">
        <v>2</v>
      </c>
      <c r="C8" s="6" t="inlineStr"/>
      <c r="D8" s="6" t="inlineStr"/>
      <c r="E8" s="6">
        <f>C8/B8*100</f>
        <v/>
      </c>
      <c r="F8" s="6" t="inlineStr">
        <is>
          <t>준법경영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2026-03-06T03:27:54Z</dcterms:created>
  <dcterms:modified xmlns:dcterms="http://purl.org/dc/terms/" xmlns:xsi="http://www.w3.org/2001/XMLSchema-instance" xsi:type="dcterms:W3CDTF">2026-03-06T03:27:54Z</dcterms:modified>
</cp:coreProperties>
</file>